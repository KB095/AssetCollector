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öcz Gábor\Documents\GitHub\AssetCollector\assets\"/>
    </mc:Choice>
  </mc:AlternateContent>
  <xr:revisionPtr revIDLastSave="0" documentId="13_ncr:1_{E5A930F5-F835-45A2-BDA0-F43654FA92A3}" xr6:coauthVersionLast="47" xr6:coauthVersionMax="47" xr10:uidLastSave="{00000000-0000-0000-0000-000000000000}"/>
  <bookViews>
    <workbookView xWindow="-120" yWindow="-120" windowWidth="29040" windowHeight="15840" activeTab="1" xr2:uid="{0098DD11-26B5-44BC-BB5B-3F68F5FA9211}"/>
  </bookViews>
  <sheets>
    <sheet name="Munka1" sheetId="1" r:id="rId1"/>
    <sheet name="assetList (2)" sheetId="4" r:id="rId2"/>
  </sheets>
  <functionGroups builtInGroupCount="19"/>
  <definedNames>
    <definedName name="KülsőAdatok_1" localSheetId="1" hidden="1">'assetList (2)'!$A$1:$D$5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H2" i="1"/>
  <c r="G2" i="1"/>
  <c r="D15" i="1" a="1"/>
  <c r="C15" i="1" a="1"/>
  <c r="B15" i="1" a="1"/>
  <c r="C2" i="1" a="1"/>
  <c r="B2" i="1" a="1"/>
  <c r="D2" i="1" a="1"/>
  <c r="F2" i="1" a="1"/>
  <c r="E2" i="1" a="1"/>
  <c r="B3" i="1" a="1"/>
  <c r="F3" i="1" a="1"/>
  <c r="E4" i="1" a="1"/>
  <c r="D5" i="1" a="1"/>
  <c r="C6" i="1" a="1"/>
  <c r="B7" i="1" a="1"/>
  <c r="F7" i="1" a="1"/>
  <c r="E8" i="1" a="1"/>
  <c r="D9" i="1" a="1"/>
  <c r="C10" i="1" a="1"/>
  <c r="B11" i="1" a="1"/>
  <c r="F11" i="1" a="1"/>
  <c r="E12" i="1" a="1"/>
  <c r="D13" i="1" a="1"/>
  <c r="C14" i="1" a="1"/>
  <c r="F15" i="1" a="1"/>
  <c r="E16" i="1" a="1"/>
  <c r="D17" i="1" a="1"/>
  <c r="C18" i="1" a="1"/>
  <c r="B19" i="1" a="1"/>
  <c r="F19" i="1" a="1"/>
  <c r="E20" i="1" a="1"/>
  <c r="D21" i="1" a="1"/>
  <c r="C22" i="1" a="1"/>
  <c r="B23" i="1" a="1"/>
  <c r="F23" i="1" a="1"/>
  <c r="E24" i="1" a="1"/>
  <c r="D25" i="1" a="1"/>
  <c r="C26" i="1" a="1"/>
  <c r="B27" i="1" a="1"/>
  <c r="F27" i="1" a="1"/>
  <c r="E28" i="1" a="1"/>
  <c r="D29" i="1" a="1"/>
  <c r="C30" i="1" a="1"/>
  <c r="B31" i="1" a="1"/>
  <c r="F31" i="1" a="1"/>
  <c r="B4" i="1" a="1"/>
  <c r="F4" i="1" a="1"/>
  <c r="E5" i="1" a="1"/>
  <c r="D6" i="1" a="1"/>
  <c r="C7" i="1" a="1"/>
  <c r="B8" i="1" a="1"/>
  <c r="F8" i="1" a="1"/>
  <c r="E9" i="1" a="1"/>
  <c r="C11" i="1" a="1"/>
  <c r="B12" i="1" a="1"/>
  <c r="F12" i="1" a="1"/>
  <c r="D14" i="1" a="1"/>
  <c r="B16" i="1" a="1"/>
  <c r="E17" i="1" a="1"/>
  <c r="C19" i="1" a="1"/>
  <c r="F20" i="1" a="1"/>
  <c r="D22" i="1" a="1"/>
  <c r="B24" i="1" a="1"/>
  <c r="E25" i="1" a="1"/>
  <c r="C27" i="1" a="1"/>
  <c r="B28" i="1" a="1"/>
  <c r="E29" i="1" a="1"/>
  <c r="C31" i="1" a="1"/>
  <c r="C3" i="1" a="1"/>
  <c r="D10" i="1" a="1"/>
  <c r="E13" i="1" a="1"/>
  <c r="F16" i="1" a="1"/>
  <c r="D18" i="1" a="1"/>
  <c r="B20" i="1" a="1"/>
  <c r="E21" i="1" a="1"/>
  <c r="C23" i="1" a="1"/>
  <c r="F24" i="1" a="1"/>
  <c r="D26" i="1" a="1"/>
  <c r="F28" i="1" a="1"/>
  <c r="D30" i="1" a="1"/>
  <c r="C4" i="1" a="1"/>
  <c r="C8" i="1" a="1"/>
  <c r="F9" i="1" a="1"/>
  <c r="D11" i="1" a="1"/>
  <c r="B13" i="1" a="1"/>
  <c r="E14" i="1" a="1"/>
  <c r="C16" i="1" a="1"/>
  <c r="F17" i="1" a="1"/>
  <c r="D19" i="1" a="1"/>
  <c r="B21" i="1" a="1"/>
  <c r="E22" i="1" a="1"/>
  <c r="C24" i="1" a="1"/>
  <c r="F25" i="1" a="1"/>
  <c r="D27" i="1" a="1"/>
  <c r="B29" i="1" a="1"/>
  <c r="E30" i="1" a="1"/>
  <c r="D31" i="1" a="1"/>
  <c r="D28" i="1" a="1"/>
  <c r="F30" i="1" a="1"/>
  <c r="D3" i="1" a="1"/>
  <c r="B5" i="1" a="1"/>
  <c r="F5" i="1" a="1"/>
  <c r="E6" i="1" a="1"/>
  <c r="D7" i="1" a="1"/>
  <c r="B9" i="1" a="1"/>
  <c r="E10" i="1" a="1"/>
  <c r="C12" i="1" a="1"/>
  <c r="F13" i="1" a="1"/>
  <c r="B17" i="1" a="1"/>
  <c r="E18" i="1" a="1"/>
  <c r="C20" i="1" a="1"/>
  <c r="F21" i="1" a="1"/>
  <c r="D23" i="1" a="1"/>
  <c r="B25" i="1" a="1"/>
  <c r="E26" i="1" a="1"/>
  <c r="C28" i="1" a="1"/>
  <c r="F29" i="1" a="1"/>
  <c r="B30" i="1" a="1"/>
  <c r="E3" i="1" a="1"/>
  <c r="D4" i="1" a="1"/>
  <c r="C5" i="1" a="1"/>
  <c r="B6" i="1" a="1"/>
  <c r="F6" i="1" a="1"/>
  <c r="E7" i="1" a="1"/>
  <c r="D8" i="1" a="1"/>
  <c r="C9" i="1" a="1"/>
  <c r="B10" i="1" a="1"/>
  <c r="F10" i="1" a="1"/>
  <c r="E11" i="1" a="1"/>
  <c r="D12" i="1" a="1"/>
  <c r="C13" i="1" a="1"/>
  <c r="B14" i="1" a="1"/>
  <c r="F14" i="1" a="1"/>
  <c r="E15" i="1" a="1"/>
  <c r="D16" i="1" a="1"/>
  <c r="C17" i="1" a="1"/>
  <c r="B18" i="1" a="1"/>
  <c r="F18" i="1" a="1"/>
  <c r="E19" i="1" a="1"/>
  <c r="D20" i="1" a="1"/>
  <c r="C21" i="1" a="1"/>
  <c r="B22" i="1" a="1"/>
  <c r="F22" i="1" a="1"/>
  <c r="E23" i="1" a="1"/>
  <c r="D24" i="1" a="1"/>
  <c r="C25" i="1" a="1"/>
  <c r="B26" i="1" a="1"/>
  <c r="F26" i="1" a="1"/>
  <c r="E27" i="1" a="1"/>
  <c r="C29" i="1" a="1"/>
  <c r="E31" i="1" a="1"/>
  <c r="D15" i="1" l="1"/>
  <c r="C15" i="1"/>
  <c r="B15" i="1"/>
  <c r="C2" i="1"/>
  <c r="B2" i="1"/>
  <c r="D2" i="1"/>
  <c r="F2" i="1"/>
  <c r="E2" i="1"/>
  <c r="E31" i="1"/>
  <c r="C29" i="1"/>
  <c r="E27" i="1"/>
  <c r="F26" i="1"/>
  <c r="B26" i="1"/>
  <c r="C25" i="1"/>
  <c r="D24" i="1"/>
  <c r="E23" i="1"/>
  <c r="F22" i="1"/>
  <c r="B22" i="1"/>
  <c r="C21" i="1"/>
  <c r="D20" i="1"/>
  <c r="E19" i="1"/>
  <c r="F18" i="1"/>
  <c r="B18" i="1"/>
  <c r="C17" i="1"/>
  <c r="D16" i="1"/>
  <c r="E15" i="1"/>
  <c r="F14" i="1"/>
  <c r="B14" i="1"/>
  <c r="C13" i="1"/>
  <c r="D12" i="1"/>
  <c r="E11" i="1"/>
  <c r="F10" i="1"/>
  <c r="B10" i="1"/>
  <c r="C9" i="1"/>
  <c r="D8" i="1"/>
  <c r="E7" i="1"/>
  <c r="F6" i="1"/>
  <c r="B6" i="1"/>
  <c r="C5" i="1"/>
  <c r="D4" i="1"/>
  <c r="E3" i="1"/>
  <c r="B30" i="1"/>
  <c r="F29" i="1"/>
  <c r="C28" i="1"/>
  <c r="E26" i="1"/>
  <c r="B25" i="1"/>
  <c r="D23" i="1"/>
  <c r="F21" i="1"/>
  <c r="C20" i="1"/>
  <c r="E18" i="1"/>
  <c r="B17" i="1"/>
  <c r="F13" i="1"/>
  <c r="C12" i="1"/>
  <c r="E10" i="1"/>
  <c r="B9" i="1"/>
  <c r="D7" i="1"/>
  <c r="E6" i="1"/>
  <c r="F5" i="1"/>
  <c r="B5" i="1"/>
  <c r="D3" i="1"/>
  <c r="F30" i="1"/>
  <c r="D28" i="1"/>
  <c r="D31" i="1"/>
  <c r="E30" i="1"/>
  <c r="B29" i="1"/>
  <c r="D27" i="1"/>
  <c r="F25" i="1"/>
  <c r="C24" i="1"/>
  <c r="E22" i="1"/>
  <c r="B21" i="1"/>
  <c r="D19" i="1"/>
  <c r="F17" i="1"/>
  <c r="C16" i="1"/>
  <c r="E14" i="1"/>
  <c r="B13" i="1"/>
  <c r="D11" i="1"/>
  <c r="F9" i="1"/>
  <c r="C8" i="1"/>
  <c r="C4" i="1"/>
  <c r="D30" i="1"/>
  <c r="F28" i="1"/>
  <c r="D26" i="1"/>
  <c r="F24" i="1"/>
  <c r="C23" i="1"/>
  <c r="E21" i="1"/>
  <c r="B20" i="1"/>
  <c r="D18" i="1"/>
  <c r="F16" i="1"/>
  <c r="E13" i="1"/>
  <c r="D10" i="1"/>
  <c r="C3" i="1"/>
  <c r="C31" i="1"/>
  <c r="E29" i="1"/>
  <c r="B28" i="1"/>
  <c r="C27" i="1"/>
  <c r="E25" i="1"/>
  <c r="B24" i="1"/>
  <c r="D22" i="1"/>
  <c r="F20" i="1"/>
  <c r="C19" i="1"/>
  <c r="E17" i="1"/>
  <c r="B16" i="1"/>
  <c r="D14" i="1"/>
  <c r="F12" i="1"/>
  <c r="B12" i="1"/>
  <c r="C11" i="1"/>
  <c r="E9" i="1"/>
  <c r="F8" i="1"/>
  <c r="B8" i="1"/>
  <c r="C7" i="1"/>
  <c r="D6" i="1"/>
  <c r="E5" i="1"/>
  <c r="F4" i="1"/>
  <c r="B4" i="1"/>
  <c r="F31" i="1"/>
  <c r="B31" i="1"/>
  <c r="C30" i="1"/>
  <c r="D29" i="1"/>
  <c r="E28" i="1"/>
  <c r="F27" i="1"/>
  <c r="B27" i="1"/>
  <c r="C26" i="1"/>
  <c r="D25" i="1"/>
  <c r="E24" i="1"/>
  <c r="F23" i="1"/>
  <c r="B23" i="1"/>
  <c r="C22" i="1"/>
  <c r="D21" i="1"/>
  <c r="E20" i="1"/>
  <c r="F19" i="1"/>
  <c r="B19" i="1"/>
  <c r="C18" i="1"/>
  <c r="D17" i="1"/>
  <c r="E16" i="1"/>
  <c r="F15" i="1"/>
  <c r="C14" i="1"/>
  <c r="D13" i="1"/>
  <c r="E12" i="1"/>
  <c r="F11" i="1"/>
  <c r="B11" i="1"/>
  <c r="C10" i="1"/>
  <c r="D9" i="1"/>
  <c r="E8" i="1"/>
  <c r="F7" i="1"/>
  <c r="B7" i="1"/>
  <c r="C6" i="1"/>
  <c r="D5" i="1"/>
  <c r="E4" i="1"/>
  <c r="F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2B6B5B-4755-435A-8729-392A2F8FBA75}" keepAlive="1" name="Lekérdezés - assetList" description="A munkafüzetben levő „assetList” lekérdezés kapcsolata" type="5" refreshedVersion="0" background="1">
    <dbPr connection="Provider=Microsoft.Mashup.OleDb.1;Data Source=$Workbook$;Location=assetList;Extended Properties=&quot;&quot;" command="SELECT * FROM [assetList]"/>
  </connection>
  <connection id="2" xr16:uid="{AF52B713-772D-4362-A7D8-A1E4E1DF53DC}" keepAlive="1" name="Lekérdezés - assetList (2)" description="A munkafüzetben levő „assetList (2)” lekérdezés kapcsolata" type="5" refreshedVersion="7" background="1" saveData="1">
    <dbPr connection="Provider=Microsoft.Mashup.OleDb.1;Data Source=$Workbook$;Location=&quot;assetList (2)&quot;;Extended Properties=&quot;&quot;" command="SELECT * FROM [assetList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<sst xmlns="http://schemas.openxmlformats.org/spreadsheetml/2006/main" count="54" uniqueCount="45">
  <si>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Azonosító</t>
  </si>
  <si>
    <t>Kép1</t>
  </si>
  <si>
    <t>Kép2</t>
  </si>
  <si>
    <t>Kép3</t>
  </si>
  <si>
    <t>Kép4</t>
  </si>
  <si>
    <t>Kép5</t>
  </si>
  <si>
    <t>Hely</t>
  </si>
  <si>
    <t>Megjegyzés</t>
  </si>
  <si>
    <t>Column1</t>
  </si>
  <si>
    <t>Asset</t>
  </si>
  <si>
    <t/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</si>
  <si>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</si>
  <si>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</si>
  <si>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</si>
  <si>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</si>
  <si>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</si>
  <si>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</si>
  <si>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</si>
  <si>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</si>
  <si>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</si>
  <si>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</si>
  <si>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</si>
  <si>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</si>
  <si>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</si>
  <si>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</si>
  <si>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</si>
  <si>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</si>
  <si>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</si>
  <si>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</si>
  <si>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</si>
  <si>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</si>
  <si>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</si>
  <si>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</si>
  <si>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</si>
  <si>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</si>
  <si>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</si>
  <si>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</si>
  <si>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</si>
  <si>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</si>
  <si>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</si>
  <si>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</si>
  <si>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Zsanett</t>
  </si>
  <si>
    <t>Nincs</t>
  </si>
  <si>
    <t>Van</t>
  </si>
  <si>
    <t xml:space="preserve">Raktáron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</si>
</sst>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0000"/>
  </numFmts>
  <fonts count="4" x14ac:knownFonts="1">
    <font>
      <sz val="11"/>
      <color theme="1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0" fillId="0" borderId="0" xfId="0" applyNumberFormat="1"/>
    <xf numFmtId="165" fontId="0" fillId="0" borderId="0" xfId="0" applyNumberFormat="1"/>
    <xf numFmtId="0" fontId="1" fillId="2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</cellXfs>
  <cellStyles count="1">
    <cellStyle name="Normál" xfId="0" builtinId="0"/>
  </cellStyles>
  <dxfs count="4">
    <dxf>
      <numFmt numFmtId="0" formatCode="General"/>
    </dxf>
    <dxf>
      <numFmt numFmtId="165" formatCode="00000"/>
    </dxf>
    <dxf>
      <numFmt numFmtId="165" formatCode="000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295274</xdr:colOff>
      <xdr:row>1</xdr:row>
      <xdr:rowOff>1</xdr:rowOff>
    </xdr:from>
    <xdr:to>
      <xdr:col>36</xdr:col>
      <xdr:colOff>342899</xdr:colOff>
      <xdr:row>2</xdr:row>
      <xdr:rowOff>422276</xdr:rowOff>
    </xdr:to>
    <xdr:pic>
      <xdr:nvPicPr>
        <xdr:cNvPr id="629" name="PictureLookupUDF2">
          <a:extLst>
            <a:ext uri="{FF2B5EF4-FFF2-40B4-BE49-F238E27FC236}">
              <a16:creationId xmlns:a16="http://schemas.microsoft.com/office/drawing/2014/main" id="{1C7869D6-0B5A-46D8-BAFE-173425C47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3002537" y="449263"/>
          <a:ext cx="1689100" cy="12668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ülsőAdatok_1" connectionId="2" xr16:uid="{0514963A-C8BC-40EE-82C6-D4D863D93257}" autoFormatId="16" applyNumberFormats="0" applyBorderFormats="0" applyFontFormats="0" applyPatternFormats="0" applyAlignmentFormats="0" applyWidthHeightFormats="0">
  <queryTableRefresh nextId="12">
    <queryTableFields count="4">
      <queryTableField id="1" name="Asset" tableColumnId="1"/>
      <queryTableField id="2" name="Hely" tableColumnId="2"/>
      <queryTableField id="3" name="Megjegyzés" tableColumnId="3"/>
      <queryTableField id="11" name="Column1" tableColumnId="11"/>
    </queryTableFields>
    <queryTableDeletedFields count="2">
      <deletedField name="Column1"/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551C12-E30E-4A85-9503-F52F29AF56D2}" name="assetList__2" displayName="assetList__2" ref="A1:D5" tableType="queryTable" totalsRowShown="0">
  <autoFilter ref="A1:D5" xr:uid="{37551C12-E30E-4A85-9503-F52F29AF56D2}"/>
  <tableColumns count="4">
    <tableColumn id="1" xr3:uid="{443257F1-AA3F-4CCC-9012-59E2F4215E06}" uniqueName="1" name="Asset" queryTableFieldId="1" dataDxfId="3"/>
    <tableColumn id="2" xr3:uid="{42F681C2-B835-4C8C-BB28-E7F585D0AEF6}" uniqueName="2" name="Hely" queryTableFieldId="2" dataDxfId="2"/>
    <tableColumn id="3" xr3:uid="{3190B352-ECC8-49C8-B7BD-7B154E02ADEE}" uniqueName="3" name="Megjegyzés" queryTableFieldId="3" dataDxfId="1"/>
    <tableColumn id="11" xr3:uid="{2EB93903-D101-465D-A275-977538615BB4}" uniqueName="11" name="Column1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7233-B358-4BAE-BA6B-DEC1C421789D}">
  <sheetPr codeName="Munka1"/>
  <dimension ref="A1:H31"/>
  <sheetViews>
    <sheetView zoomScale="130" zoomScaleNormal="130" workbookViewId="0">
      <selection activeCell="B15" sqref="B15"/>
    </sheetView>
  </sheetViews>
  <sheetFormatPr defaultRowHeight="15" x14ac:dyDescent="0.25"/>
  <cols>
    <col min="1" max="1" width="16.140625" bestFit="1" customWidth="1"/>
    <col min="2" max="6" width="34.7109375" bestFit="1" customWidth="1"/>
    <col min="7" max="8" width="33.140625" customWidth="1"/>
  </cols>
  <sheetData>
    <row r="1" spans="1:8" ht="18.75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8" ht="99.95" customHeight="1" x14ac:dyDescent="0.25">
      <c r="A2" s="2" t="s">
        <v>11</v>
      </c>
      <c r="B2" s="6" t="str" cm="1">
        <f t="array" ref="B2">IFERROR(PictureLookupUDF("C:\Users\Böcz Gábor\Documents\GitHub\AssetCollector\assets\"&amp;$A2&amp;"_1.jpg",B2:B2,1),"")</f>
        <v/>
      </c>
      <c r="C2" s="6" t="str" cm="1">
        <f t="array" ref="C2">IFERROR(PictureLookupUDF("C:\Users\Böcz Gábor\Documents\GitHub\AssetCollector\assets\"&amp;$A2&amp;"_2.jpg",C2:C2,1),"")</f>
        <v/>
      </c>
      <c r="D2" s="6" t="str" cm="1">
        <f t="array" ref="D2">IFERROR(PictureLookupUDF("C:\Users\Böcz Gábor\Documents\GitHub\AssetCollector\assets\"&amp;$A2&amp;"_3.jpg",D2:D2,1),"")</f>
        <v/>
      </c>
      <c r="E2" s="6" t="str" cm="1">
        <f t="array" ref="E2">IFERROR(PictureLookupUDF("C:\Users\Böcz Gábor\Documents\GitHub\AssetCollector\assets\"&amp;$A2&amp;"_4.jpg",E2:E2,1),"")</f>
        <v/>
      </c>
      <c r="F2" s="6" t="str" cm="1">
        <f t="array" ref="F2">IFERROR(PictureLookupUDF("C:\Users\Böcz Gábor\Documents\GitHub\AssetCollector\assets\"&amp;$A2&amp;"_5.jpg",F2:F2,1),"")</f>
        <v/>
      </c>
      <c r="G2" s="7" t="str">
        <f>IFERROR(VLOOKUP(A2,assetList__2[],2,FALSE),"-")</f>
        <v>-</v>
      </c>
      <c r="H2" s="7" t="str">
        <f>IFERROR(VLOOKUP(A2,assetList__2[],3,FALSE),"-")</f>
        <v>-</v>
      </c>
    </row>
    <row r="3" spans="1:8" ht="150" customHeight="1" x14ac:dyDescent="0.25">
      <c r="A3" s="2" t="s">
        <v>12</v>
      </c>
      <c r="B3" s="6" t="str" cm="1">
        <f t="array" ref="B3">IFERROR(PictureLookupUDF("C:\Users\Böcz Gábor\Documents\GitHub\AssetCollector\assets\"&amp;$A3&amp;"_1.jpg",B3:B3,1),"")</f>
        <v/>
      </c>
      <c r="C3" s="6" t="str" cm="1">
        <f t="array" ref="C3">IFERROR(PictureLookupUDF("C:\Users\Böcz Gábor\Documents\GitHub\AssetCollector\assets\"&amp;$A3&amp;"_2.jpg",C3:C3,1),"")</f>
        <v/>
      </c>
      <c r="D3" s="6" t="str" cm="1">
        <f t="array" ref="D3">IFERROR(PictureLookupUDF("C:\Users\Böcz Gábor\Documents\GitHub\AssetCollector\assets\"&amp;$A3&amp;"_3.jpg",D3:D3,1),"")</f>
        <v/>
      </c>
      <c r="E3" s="6" t="str" cm="1">
        <f t="array" ref="E3">IFERROR(PictureLookupUDF("C:\Users\Böcz Gábor\Documents\GitHub\AssetCollector\assets\"&amp;$A3&amp;"_4.jpg",E3:E3,1),"")</f>
        <v/>
      </c>
      <c r="F3" s="6" t="str" cm="1">
        <f t="array" ref="F3">IFERROR(PictureLookupUDF("C:\Users\Böcz Gábor\Documents\GitHub\AssetCollector\assets\"&amp;$A3&amp;"_5.jpg",F3:F3,1),"")</f>
        <v/>
      </c>
      <c r="G3" s="7" t="str">
        <f>IFERROR(VLOOKUP(A3,assetList__2[],2,FALSE),"-")</f>
        <v>-</v>
      </c>
      <c r="H3" s="7" t="str">
        <f>IFERROR(VLOOKUP(A3,assetList__2[],3,FALSE),"-")</f>
        <v>-</v>
      </c>
    </row>
    <row r="4" spans="1:8" ht="99.95" customHeight="1" x14ac:dyDescent="0.25">
      <c r="A4" s="2" t="s">
        <v>13</v>
      </c>
      <c r="B4" s="6" t="str" cm="1">
        <f t="array" ref="B4">IFERROR(PictureLookupUDF("C:\Users\Böcz Gábor\Documents\GitHub\AssetCollector\assets\"&amp;$A4&amp;"_1.jpg",B4:B4,1),"")</f>
        <v/>
      </c>
      <c r="C4" s="6" t="str" cm="1">
        <f t="array" ref="C4">IFERROR(PictureLookupUDF("C:\Users\Böcz Gábor\Documents\GitHub\AssetCollector\assets\"&amp;$A4&amp;"_2.jpg",C4:C4,1),"")</f>
        <v/>
      </c>
      <c r="D4" s="6" t="str" cm="1">
        <f t="array" ref="D4">IFERROR(PictureLookupUDF("C:\Users\Böcz Gábor\Documents\GitHub\AssetCollector\assets\"&amp;$A4&amp;"_3.jpg",D4:D4,1),"")</f>
        <v/>
      </c>
      <c r="E4" s="6" t="str" cm="1">
        <f t="array" ref="E4">IFERROR(PictureLookupUDF("C:\Users\Böcz Gábor\Documents\GitHub\AssetCollector\assets\"&amp;$A4&amp;"_4.jpg",E4:E4,1),"")</f>
        <v/>
      </c>
      <c r="F4" s="6" t="str" cm="1">
        <f t="array" ref="F4">IFERROR(PictureLookupUDF("C:\Users\Böcz Gábor\Documents\GitHub\AssetCollector\assets\"&amp;$A4&amp;"_5.jpg",F4:F4,1),"")</f>
        <v/>
      </c>
      <c r="G4" s="7" t="str">
        <f>IFERROR(VLOOKUP(A4,assetList__2[],2,FALSE),"-")</f>
        <v>-</v>
      </c>
      <c r="H4" s="7" t="str">
        <f>IFERROR(VLOOKUP(A4,assetList__2[],3,FALSE),"-")</f>
        <v>-</v>
      </c>
    </row>
    <row r="5" spans="1:8" ht="99.95" customHeight="1" x14ac:dyDescent="0.25">
      <c r="A5" s="2" t="s">
        <v>14</v>
      </c>
      <c r="B5" s="6" t="str" cm="1">
        <f t="array" ref="B5">IFERROR(PictureLookupUDF("C:\Users\Böcz Gábor\Documents\GitHub\AssetCollector\assets\"&amp;$A5&amp;"_1.jpg",B5:B5,1),"")</f>
        <v/>
      </c>
      <c r="C5" s="6" t="str" cm="1">
        <f t="array" ref="C5">IFERROR(PictureLookupUDF("C:\Users\Böcz Gábor\Documents\GitHub\AssetCollector\assets\"&amp;$A5&amp;"_2.jpg",C5:C5,1),"")</f>
        <v/>
      </c>
      <c r="D5" s="6" t="str" cm="1">
        <f t="array" ref="D5">IFERROR(PictureLookupUDF("C:\Users\Böcz Gábor\Documents\GitHub\AssetCollector\assets\"&amp;$A5&amp;"_3.jpg",D5:D5,1),"")</f>
        <v/>
      </c>
      <c r="E5" s="6" t="str" cm="1">
        <f t="array" ref="E5">IFERROR(PictureLookupUDF("C:\Users\Böcz Gábor\Documents\GitHub\AssetCollector\assets\"&amp;$A5&amp;"_4.jpg",E5:E5,1),"")</f>
        <v/>
      </c>
      <c r="F5" s="6" t="str" cm="1">
        <f t="array" ref="F5">IFERROR(PictureLookupUDF("C:\Users\Böcz Gábor\Documents\GitHub\AssetCollector\assets\"&amp;$A5&amp;"_5.jpg",F5:F5,1),"")</f>
        <v/>
      </c>
      <c r="G5" s="7" t="str">
        <f>IFERROR(VLOOKUP(A5,assetList__2[],2,FALSE),"-")</f>
        <v>-</v>
      </c>
      <c r="H5" s="7" t="str">
        <f>IFERROR(VLOOKUP(A5,assetList__2[],3,FALSE),"-")</f>
        <v>-</v>
      </c>
    </row>
    <row r="6" spans="1:8" ht="99.95" customHeight="1" x14ac:dyDescent="0.25">
      <c r="A6" s="2" t="s">
        <v>15</v>
      </c>
      <c r="B6" s="6" t="str" cm="1">
        <f t="array" ref="B6">IFERROR(PictureLookupUDF("C:\Users\Böcz Gábor\Documents\GitHub\AssetCollector\assets\"&amp;$A6&amp;"_1.jpg",B6:B6,1),"")</f>
        <v/>
      </c>
      <c r="C6" s="6" t="str" cm="1">
        <f t="array" ref="C6">IFERROR(PictureLookupUDF("C:\Users\Böcz Gábor\Documents\GitHub\AssetCollector\assets\"&amp;$A6&amp;"_2.jpg",C6:C6,1),"")</f>
        <v/>
      </c>
      <c r="D6" s="6" t="str" cm="1">
        <f t="array" ref="D6">IFERROR(PictureLookupUDF("C:\Users\Böcz Gábor\Documents\GitHub\AssetCollector\assets\"&amp;$A6&amp;"_3.jpg",D6:D6,1),"")</f>
        <v/>
      </c>
      <c r="E6" s="6" t="str" cm="1">
        <f t="array" ref="E6">IFERROR(PictureLookupUDF("C:\Users\Böcz Gábor\Documents\GitHub\AssetCollector\assets\"&amp;$A6&amp;"_4.jpg",E6:E6,1),"")</f>
        <v/>
      </c>
      <c r="F6" s="6" t="str" cm="1">
        <f t="array" ref="F6">IFERROR(PictureLookupUDF("C:\Users\Böcz Gábor\Documents\GitHub\AssetCollector\assets\"&amp;$A6&amp;"_5.jpg",F6:F6,1),"")</f>
        <v/>
      </c>
      <c r="G6" s="7" t="str">
        <f>IFERROR(VLOOKUP(A6,assetList__2[],2,FALSE),"-")</f>
        <v>-</v>
      </c>
      <c r="H6" s="7" t="str">
        <f>IFERROR(VLOOKUP(A6,assetList__2[],3,FALSE),"-")</f>
        <v>-</v>
      </c>
    </row>
    <row r="7" spans="1:8" ht="99.95" customHeight="1" x14ac:dyDescent="0.25">
      <c r="A7" s="2" t="s">
        <v>16</v>
      </c>
      <c r="B7" s="6" t="str" cm="1">
        <f t="array" ref="B7">IFERROR(PictureLookupUDF("C:\Users\Böcz Gábor\Documents\GitHub\AssetCollector\assets\"&amp;$A7&amp;"_1.jpg",B7:B7,1),"")</f>
        <v/>
      </c>
      <c r="C7" s="6" t="str" cm="1">
        <f t="array" ref="C7">IFERROR(PictureLookupUDF("C:\Users\Böcz Gábor\Documents\GitHub\AssetCollector\assets\"&amp;$A7&amp;"_2.jpg",C7:C7,1),"")</f>
        <v/>
      </c>
      <c r="D7" s="6" t="str" cm="1">
        <f t="array" ref="D7">IFERROR(PictureLookupUDF("C:\Users\Böcz Gábor\Documents\GitHub\AssetCollector\assets\"&amp;$A7&amp;"_3.jpg",D7:D7,1),"")</f>
        <v/>
      </c>
      <c r="E7" s="6" t="str" cm="1">
        <f t="array" ref="E7">IFERROR(PictureLookupUDF("C:\Users\Böcz Gábor\Documents\GitHub\AssetCollector\assets\"&amp;$A7&amp;"_4.jpg",E7:E7,1),"")</f>
        <v/>
      </c>
      <c r="F7" s="6" t="str" cm="1">
        <f t="array" ref="F7">IFERROR(PictureLookupUDF("C:\Users\Böcz Gábor\Documents\GitHub\AssetCollector\assets\"&amp;$A7&amp;"_5.jpg",F7:F7,1),"")</f>
        <v/>
      </c>
      <c r="G7" s="7" t="str">
        <f>IFERROR(VLOOKUP(A7,assetList__2[],2,FALSE),"-")</f>
        <v>-</v>
      </c>
      <c r="H7" s="7" t="str">
        <f>IFERROR(VLOOKUP(A7,assetList__2[],3,FALSE),"-")</f>
        <v>-</v>
      </c>
    </row>
    <row r="8" spans="1:8" ht="99.95" customHeight="1" x14ac:dyDescent="0.25">
      <c r="A8" s="2" t="s">
        <v>17</v>
      </c>
      <c r="B8" s="6" t="str" cm="1">
        <f t="array" ref="B8">IFERROR(PictureLookupUDF("C:\Users\Böcz Gábor\Documents\GitHub\AssetCollector\assets\"&amp;$A8&amp;"_1.jpg",B8:B8,1),"")</f>
        <v/>
      </c>
      <c r="C8" s="6" t="str" cm="1">
        <f t="array" ref="C8">IFERROR(PictureLookupUDF("C:\Users\Böcz Gábor\Documents\GitHub\AssetCollector\assets\"&amp;$A8&amp;"_2.jpg",C8:C8,1),"")</f>
        <v/>
      </c>
      <c r="D8" s="6" t="str" cm="1">
        <f t="array" ref="D8">IFERROR(PictureLookupUDF("C:\Users\Böcz Gábor\Documents\GitHub\AssetCollector\assets\"&amp;$A8&amp;"_3.jpg",D8:D8,1),"")</f>
        <v/>
      </c>
      <c r="E8" s="6" t="str" cm="1">
        <f t="array" ref="E8">IFERROR(PictureLookupUDF("C:\Users\Böcz Gábor\Documents\GitHub\AssetCollector\assets\"&amp;$A8&amp;"_4.jpg",E8:E8,1),"")</f>
        <v/>
      </c>
      <c r="F8" s="6" t="str" cm="1">
        <f t="array" ref="F8">IFERROR(PictureLookupUDF("C:\Users\Böcz Gábor\Documents\GitHub\AssetCollector\assets\"&amp;$A8&amp;"_5.jpg",F8:F8,1),"")</f>
        <v/>
      </c>
      <c r="G8" s="7" t="str">
        <f>IFERROR(VLOOKUP(A8,assetList__2[],2,FALSE),"-")</f>
        <v>-</v>
      </c>
      <c r="H8" s="7" t="str">
        <f>IFERROR(VLOOKUP(A8,assetList__2[],3,FALSE),"-")</f>
        <v>-</v>
      </c>
    </row>
    <row r="9" spans="1:8" ht="99.95" customHeight="1" x14ac:dyDescent="0.25">
      <c r="A9" s="2" t="s">
        <v>18</v>
      </c>
      <c r="B9" s="6" t="str" cm="1">
        <f t="array" ref="B9">IFERROR(PictureLookupUDF("C:\Users\Böcz Gábor\Documents\GitHub\AssetCollector\assets\"&amp;$A9&amp;"_1.jpg",B9:B9,1),"")</f>
        <v/>
      </c>
      <c r="C9" s="6" t="str" cm="1">
        <f t="array" ref="C9">IFERROR(PictureLookupUDF("C:\Users\Böcz Gábor\Documents\GitHub\AssetCollector\assets\"&amp;$A9&amp;"_2.jpg",C9:C9,1),"")</f>
        <v/>
      </c>
      <c r="D9" s="6" t="str" cm="1">
        <f t="array" ref="D9">IFERROR(PictureLookupUDF("C:\Users\Böcz Gábor\Documents\GitHub\AssetCollector\assets\"&amp;$A9&amp;"_3.jpg",D9:D9,1),"")</f>
        <v/>
      </c>
      <c r="E9" s="6" t="str" cm="1">
        <f t="array" ref="E9">IFERROR(PictureLookupUDF("C:\Users\Böcz Gábor\Documents\GitHub\AssetCollector\assets\"&amp;$A9&amp;"_4.jpg",E9:E9,1),"")</f>
        <v/>
      </c>
      <c r="F9" s="6" t="str" cm="1">
        <f t="array" ref="F9">IFERROR(PictureLookupUDF("C:\Users\Böcz Gábor\Documents\GitHub\AssetCollector\assets\"&amp;$A9&amp;"_5.jpg",F9:F9,1),"")</f>
        <v/>
      </c>
      <c r="G9" s="7" t="str">
        <f>IFERROR(VLOOKUP(A9,assetList__2[],2,FALSE),"-")</f>
        <v>-</v>
      </c>
      <c r="H9" s="7" t="str">
        <f>IFERROR(VLOOKUP(A9,assetList__2[],3,FALSE),"-")</f>
        <v>-</v>
      </c>
    </row>
    <row r="10" spans="1:8" ht="99.95" customHeight="1" x14ac:dyDescent="0.25">
      <c r="A10" s="2" t="s">
        <v>19</v>
      </c>
      <c r="B10" s="6" t="str" cm="1">
        <f t="array" ref="B10">IFERROR(PictureLookupUDF("C:\Users\Böcz Gábor\Documents\GitHub\AssetCollector\assets\"&amp;$A10&amp;"_1.jpg",B10:B10,1),"")</f>
        <v/>
      </c>
      <c r="C10" s="6" t="str" cm="1">
        <f t="array" ref="C10">IFERROR(PictureLookupUDF("C:\Users\Böcz Gábor\Documents\GitHub\AssetCollector\assets\"&amp;$A10&amp;"_2.jpg",C10:C10,1),"")</f>
        <v/>
      </c>
      <c r="D10" s="6" t="str" cm="1">
        <f t="array" ref="D10">IFERROR(PictureLookupUDF("C:\Users\Böcz Gábor\Documents\GitHub\AssetCollector\assets\"&amp;$A10&amp;"_3.jpg",D10:D10,1),"")</f>
        <v/>
      </c>
      <c r="E10" s="6" t="str" cm="1">
        <f t="array" ref="E10">IFERROR(PictureLookupUDF("C:\Users\Böcz Gábor\Documents\GitHub\AssetCollector\assets\"&amp;$A10&amp;"_4.jpg",E10:E10,1),"")</f>
        <v/>
      </c>
      <c r="F10" s="6" t="str" cm="1">
        <f t="array" ref="F10">IFERROR(PictureLookupUDF("C:\Users\Böcz Gábor\Documents\GitHub\AssetCollector\assets\"&amp;$A10&amp;"_5.jpg",F10:F10,1),"")</f>
        <v/>
      </c>
      <c r="G10" s="7" t="str">
        <f>IFERROR(VLOOKUP(A10,assetList__2[],2,FALSE),"-")</f>
        <v>-</v>
      </c>
      <c r="H10" s="7" t="str">
        <f>IFERROR(VLOOKUP(A10,assetList__2[],3,FALSE),"-")</f>
        <v>-</v>
      </c>
    </row>
    <row r="11" spans="1:8" ht="99.95" customHeight="1" x14ac:dyDescent="0.25">
      <c r="A11" s="2" t="s">
        <v>20</v>
      </c>
      <c r="B11" s="6" t="str" cm="1">
        <f t="array" ref="B11">IFERROR(PictureLookupUDF("C:\Users\Böcz Gábor\Documents\GitHub\AssetCollector\assets\"&amp;$A11&amp;"_1.jpg",B11:B11,1),"")</f>
        <v/>
      </c>
      <c r="C11" s="6" t="str" cm="1">
        <f t="array" ref="C11">IFERROR(PictureLookupUDF("C:\Users\Böcz Gábor\Documents\GitHub\AssetCollector\assets\"&amp;$A11&amp;"_2.jpg",C11:C11,1),"")</f>
        <v/>
      </c>
      <c r="D11" s="6" t="str" cm="1">
        <f t="array" ref="D11">IFERROR(PictureLookupUDF("C:\Users\Böcz Gábor\Documents\GitHub\AssetCollector\assets\"&amp;$A11&amp;"_3.jpg",D11:D11,1),"")</f>
        <v/>
      </c>
      <c r="E11" s="6" t="str" cm="1">
        <f t="array" ref="E11">IFERROR(PictureLookupUDF("C:\Users\Böcz Gábor\Documents\GitHub\AssetCollector\assets\"&amp;$A11&amp;"_4.jpg",E11:E11,1),"")</f>
        <v/>
      </c>
      <c r="F11" s="6" t="str" cm="1">
        <f t="array" ref="F11">IFERROR(PictureLookupUDF("C:\Users\Böcz Gábor\Documents\GitHub\AssetCollector\assets\"&amp;$A11&amp;"_5.jpg",F11:F11,1),"")</f>
        <v/>
      </c>
      <c r="G11" s="7" t="str">
        <f>IFERROR(VLOOKUP(A11,assetList__2[],2,FALSE),"-")</f>
        <v>-</v>
      </c>
      <c r="H11" s="7" t="str">
        <f>IFERROR(VLOOKUP(A11,assetList__2[],3,FALSE),"-")</f>
        <v>-</v>
      </c>
    </row>
    <row r="12" spans="1:8" ht="99.95" customHeight="1" x14ac:dyDescent="0.25">
      <c r="A12" s="2" t="s">
        <v>21</v>
      </c>
      <c r="B12" s="6" t="str" cm="1">
        <f t="array" ref="B12">IFERROR(PictureLookupUDF("C:\Users\Böcz Gábor\Documents\GitHub\AssetCollector\assets\"&amp;$A12&amp;"_1.jpg",B12:B12,1),"")</f>
        <v/>
      </c>
      <c r="C12" s="6" t="str" cm="1">
        <f t="array" ref="C12">IFERROR(PictureLookupUDF("C:\Users\Böcz Gábor\Documents\GitHub\AssetCollector\assets\"&amp;$A12&amp;"_2.jpg",C12:C12,1),"")</f>
        <v/>
      </c>
      <c r="D12" s="6" t="str" cm="1">
        <f t="array" ref="D12">IFERROR(PictureLookupUDF("C:\Users\Böcz Gábor\Documents\GitHub\AssetCollector\assets\"&amp;$A12&amp;"_3.jpg",D12:D12,1),"")</f>
        <v/>
      </c>
      <c r="E12" s="6" t="str" cm="1">
        <f t="array" ref="E12">IFERROR(PictureLookupUDF("C:\Users\Böcz Gábor\Documents\GitHub\AssetCollector\assets\"&amp;$A12&amp;"_4.jpg",E12:E12,1),"")</f>
        <v/>
      </c>
      <c r="F12" s="6" t="str" cm="1">
        <f t="array" ref="F12">IFERROR(PictureLookupUDF("C:\Users\Böcz Gábor\Documents\GitHub\AssetCollector\assets\"&amp;$A12&amp;"_5.jpg",F12:F12,1),"")</f>
        <v/>
      </c>
      <c r="G12" s="7" t="str">
        <f>IFERROR(VLOOKUP(A12,assetList__2[],2,FALSE),"-")</f>
        <v>-</v>
      </c>
      <c r="H12" s="7" t="str">
        <f>IFERROR(VLOOKUP(A12,assetList__2[],3,FALSE),"-")</f>
        <v>-</v>
      </c>
    </row>
    <row r="13" spans="1:8" ht="99.95" customHeight="1" x14ac:dyDescent="0.25">
      <c r="A13" s="2" t="s">
        <v>22</v>
      </c>
      <c r="B13" s="6" t="str" cm="1">
        <f t="array" ref="B13">IFERROR(PictureLookupUDF("C:\Users\Böcz Gábor\Documents\GitHub\AssetCollector\assets\"&amp;$A13&amp;"_1.jpg",B13:B13,1),"")</f>
        <v/>
      </c>
      <c r="C13" s="6" t="str" cm="1">
        <f t="array" ref="C13">IFERROR(PictureLookupUDF("C:\Users\Böcz Gábor\Documents\GitHub\AssetCollector\assets\"&amp;$A13&amp;"_2.jpg",C13:C13,1),"")</f>
        <v/>
      </c>
      <c r="D13" s="6" t="str" cm="1">
        <f t="array" ref="D13">IFERROR(PictureLookupUDF("C:\Users\Böcz Gábor\Documents\GitHub\AssetCollector\assets\"&amp;$A13&amp;"_3.jpg",D13:D13,1),"")</f>
        <v/>
      </c>
      <c r="E13" s="6" t="str" cm="1">
        <f t="array" ref="E13">IFERROR(PictureLookupUDF("C:\Users\Böcz Gábor\Documents\GitHub\AssetCollector\assets\"&amp;$A13&amp;"_4.jpg",E13:E13,1),"")</f>
        <v/>
      </c>
      <c r="F13" s="6" t="str" cm="1">
        <f t="array" ref="F13">IFERROR(PictureLookupUDF("C:\Users\Böcz Gábor\Documents\GitHub\AssetCollector\assets\"&amp;$A13&amp;"_5.jpg",F13:F13,1),"")</f>
        <v/>
      </c>
      <c r="G13" s="7" t="str">
        <f>IFERROR(VLOOKUP(A13,assetList__2[],2,FALSE),"-")</f>
        <v>-</v>
      </c>
      <c r="H13" s="7" t="str">
        <f>IFERROR(VLOOKUP(A13,assetList__2[],3,FALSE),"-")</f>
        <v>-</v>
      </c>
    </row>
    <row r="14" spans="1:8" ht="99.95" customHeight="1" x14ac:dyDescent="0.25">
      <c r="A14" s="2" t="s">
        <v>23</v>
      </c>
      <c r="B14" s="6" t="str" cm="1">
        <f t="array" ref="B14">IFERROR(PictureLookupUDF("C:\Users\Böcz Gábor\Documents\GitHub\AssetCollector\assets\"&amp;$A14&amp;"_1.jpg",B14:B14,1),"")</f>
        <v/>
      </c>
      <c r="C14" s="6" t="str" cm="1">
        <f t="array" ref="C14">IFERROR(PictureLookupUDF("C:\Users\Böcz Gábor\Documents\GitHub\AssetCollector\assets\"&amp;$A14&amp;"_2.jpg",C14:C14,1),"")</f>
        <v/>
      </c>
      <c r="D14" s="6" t="str" cm="1">
        <f t="array" ref="D14">IFERROR(PictureLookupUDF("C:\Users\Böcz Gábor\Documents\GitHub\AssetCollector\assets\"&amp;$A14&amp;"_3.jpg",D14:D14,1),"")</f>
        <v/>
      </c>
      <c r="E14" s="6" t="str" cm="1">
        <f t="array" ref="E14">IFERROR(PictureLookupUDF("C:\Users\Böcz Gábor\Documents\GitHub\AssetCollector\assets\"&amp;$A14&amp;"_4.jpg",E14:E14,1),"")</f>
        <v/>
      </c>
      <c r="F14" s="6" t="str" cm="1">
        <f t="array" ref="F14">IFERROR(PictureLookupUDF("C:\Users\Böcz Gábor\Documents\GitHub\AssetCollector\assets\"&amp;$A14&amp;"_5.jpg",F14:F14,1),"")</f>
        <v/>
      </c>
      <c r="G14" s="7" t="str">
        <f>IFERROR(VLOOKUP(A14,assetList__2[],2,FALSE),"-")</f>
        <v>-</v>
      </c>
      <c r="H14" s="7" t="str">
        <f>IFERROR(VLOOKUP(A14,assetList__2[],3,FALSE),"-")</f>
        <v>-</v>
      </c>
    </row>
    <row r="15" spans="1:8" ht="99.95" customHeight="1" x14ac:dyDescent="0.25">
      <c r="A15" s="2" t="s">
        <v>24</v>
      </c>
      <c r="B15" s="6" t="str" cm="1">
        <f t="array" ref="B15">IFERROR(PictureLookupUDF("C:\Users\Böcz Gábor\Documents\GitHub\AssetCollector\assets\"&amp;$A15&amp;"_1.jpg",B15:B15,1),"")</f>
        <v/>
      </c>
      <c r="C15" s="6" t="str" cm="1">
        <f t="array" ref="C15">IFERROR(PictureLookupUDF("C:\Users\Böcz Gábor\Documents\GitHub\AssetCollector\assets\"&amp;$A15&amp;"_2.jpg",C15:C15,1),"")</f>
        <v/>
      </c>
      <c r="D15" s="6" t="str" cm="1">
        <f t="array" ref="D15">IFERROR(PictureLookupUDF("C:\Users\Böcz Gábor\Documents\GitHub\AssetCollector\assets\"&amp;$A15&amp;"_3.jpg",D15:D15,1),"")</f>
        <v/>
      </c>
      <c r="E15" s="6" t="str" cm="1">
        <f t="array" ref="E15">IFERROR(PictureLookupUDF("C:\Users\Böcz Gábor\Documents\GitHub\AssetCollector\assets\"&amp;$A15&amp;"_4.jpg",E15:E15,1),"")</f>
        <v/>
      </c>
      <c r="F15" s="6" t="str" cm="1">
        <f t="array" ref="F15">IFERROR(PictureLookupUDF("C:\Users\Böcz Gábor\Documents\GitHub\AssetCollector\assets\"&amp;$A15&amp;"_5.jpg",F15:F15,1),"")</f>
        <v/>
      </c>
      <c r="G15" s="7" t="str">
        <f>IFERROR(VLOOKUP(A15,assetList__2[],2,FALSE),"-")</f>
        <v>-</v>
      </c>
      <c r="H15" s="7" t="str">
        <f>IFERROR(VLOOKUP(A15,assetList__2[],3,FALSE),"-")</f>
        <v>-</v>
      </c>
    </row>
    <row r="16" spans="1:8" ht="99.95" customHeight="1" x14ac:dyDescent="0.25">
      <c r="A16" s="2" t="s">
        <v>25</v>
      </c>
      <c r="B16" s="6" t="str" cm="1">
        <f t="array" ref="B16">IFERROR(PictureLookupUDF("C:\Users\Böcz Gábor\Documents\GitHub\AssetCollector\assets\"&amp;$A16&amp;"_1.jpg",B16:B16,1),"")</f>
        <v/>
      </c>
      <c r="C16" s="6" t="str" cm="1">
        <f t="array" ref="C16">IFERROR(PictureLookupUDF("C:\Users\Böcz Gábor\Documents\GitHub\AssetCollector\assets\"&amp;$A16&amp;"_2.jpg",C16:C16,1),"")</f>
        <v/>
      </c>
      <c r="D16" s="6" t="str" cm="1">
        <f t="array" ref="D16">IFERROR(PictureLookupUDF("C:\Users\Böcz Gábor\Documents\GitHub\AssetCollector\assets\"&amp;$A16&amp;"_3.jpg",D16:D16,1),"")</f>
        <v/>
      </c>
      <c r="E16" s="6" t="str" cm="1">
        <f t="array" ref="E16">IFERROR(PictureLookupUDF("C:\Users\Böcz Gábor\Documents\GitHub\AssetCollector\assets\"&amp;$A16&amp;"_4.jpg",E16:E16,1),"")</f>
        <v/>
      </c>
      <c r="F16" s="6" t="str" cm="1">
        <f t="array" ref="F16">IFERROR(PictureLookupUDF("C:\Users\Böcz Gábor\Documents\GitHub\AssetCollector\assets\"&amp;$A16&amp;"_5.jpg",F16:F16,1),"")</f>
        <v/>
      </c>
      <c r="G16" s="7" t="str">
        <f>IFERROR(VLOOKUP(A16,assetList__2[],2,FALSE),"-")</f>
        <v>-</v>
      </c>
      <c r="H16" s="7" t="str">
        <f>IFERROR(VLOOKUP(A16,assetList__2[],3,FALSE),"-")</f>
        <v>-</v>
      </c>
    </row>
    <row r="17" spans="1:8" ht="99.95" customHeight="1" x14ac:dyDescent="0.25">
      <c r="A17" s="2" t="s">
        <v>26</v>
      </c>
      <c r="B17" s="6" t="str" cm="1">
        <f t="array" ref="B17">IFERROR(PictureLookupUDF("C:\Users\Böcz Gábor\Documents\GitHub\AssetCollector\assets\"&amp;$A17&amp;"_1.jpg",B17:B17,1),"")</f>
        <v/>
      </c>
      <c r="C17" s="6" t="str" cm="1">
        <f t="array" ref="C17">IFERROR(PictureLookupUDF("C:\Users\Böcz Gábor\Documents\GitHub\AssetCollector\assets\"&amp;$A17&amp;"_2.jpg",C17:C17,1),"")</f>
        <v/>
      </c>
      <c r="D17" s="6" t="str" cm="1">
        <f t="array" ref="D17">IFERROR(PictureLookupUDF("C:\Users\Böcz Gábor\Documents\GitHub\AssetCollector\assets\"&amp;$A17&amp;"_3.jpg",D17:D17,1),"")</f>
        <v/>
      </c>
      <c r="E17" s="6" t="str" cm="1">
        <f t="array" ref="E17">IFERROR(PictureLookupUDF("C:\Users\Böcz Gábor\Documents\GitHub\AssetCollector\assets\"&amp;$A17&amp;"_4.jpg",E17:E17,1),"")</f>
        <v/>
      </c>
      <c r="F17" s="6" t="str" cm="1">
        <f t="array" ref="F17">IFERROR(PictureLookupUDF("C:\Users\Böcz Gábor\Documents\GitHub\AssetCollector\assets\"&amp;$A17&amp;"_5.jpg",F17:F17,1),"")</f>
        <v/>
      </c>
      <c r="G17" s="7" t="str">
        <f>IFERROR(VLOOKUP(A17,assetList__2[],2,FALSE),"-")</f>
        <v>-</v>
      </c>
      <c r="H17" s="7" t="str">
        <f>IFERROR(VLOOKUP(A17,assetList__2[],3,FALSE),"-")</f>
        <v>-</v>
      </c>
    </row>
    <row r="18" spans="1:8" ht="99.95" customHeight="1" x14ac:dyDescent="0.25">
      <c r="A18" s="2" t="s">
        <v>27</v>
      </c>
      <c r="B18" s="6" t="str" cm="1">
        <f t="array" ref="B18">IFERROR(PictureLookupUDF("C:\Users\Böcz Gábor\Documents\GitHub\AssetCollector\assets\"&amp;$A18&amp;"_1.jpg",B18:B18,1),"")</f>
        <v/>
      </c>
      <c r="C18" s="6" t="str" cm="1">
        <f t="array" ref="C18">IFERROR(PictureLookupUDF("C:\Users\Böcz Gábor\Documents\GitHub\AssetCollector\assets\"&amp;$A18&amp;"_2.jpg",C18:C18,1),"")</f>
        <v/>
      </c>
      <c r="D18" s="6" t="str" cm="1">
        <f t="array" ref="D18">IFERROR(PictureLookupUDF("C:\Users\Böcz Gábor\Documents\GitHub\AssetCollector\assets\"&amp;$A18&amp;"_3.jpg",D18:D18,1),"")</f>
        <v/>
      </c>
      <c r="E18" s="6" t="str" cm="1">
        <f t="array" ref="E18">IFERROR(PictureLookupUDF("C:\Users\Böcz Gábor\Documents\GitHub\AssetCollector\assets\"&amp;$A18&amp;"_4.jpg",E18:E18,1),"")</f>
        <v/>
      </c>
      <c r="F18" s="6" t="str" cm="1">
        <f t="array" ref="F18">IFERROR(PictureLookupUDF("C:\Users\Böcz Gábor\Documents\GitHub\AssetCollector\assets\"&amp;$A18&amp;"_5.jpg",F18:F18,1),"")</f>
        <v/>
      </c>
      <c r="G18" s="7" t="str">
        <f>IFERROR(VLOOKUP(A18,assetList__2[],2,FALSE),"-")</f>
        <v>-</v>
      </c>
      <c r="H18" s="7" t="str">
        <f>IFERROR(VLOOKUP(A18,assetList__2[],3,FALSE),"-")</f>
        <v>-</v>
      </c>
    </row>
    <row r="19" spans="1:8" ht="99.95" customHeight="1" x14ac:dyDescent="0.25">
      <c r="A19" s="2" t="s">
        <v>28</v>
      </c>
      <c r="B19" s="6" t="str" cm="1">
        <f t="array" ref="B19">IFERROR(PictureLookupUDF("C:\Users\Böcz Gábor\Documents\GitHub\AssetCollector\assets\"&amp;$A19&amp;"_1.jpg",B19:B19,1),"")</f>
        <v/>
      </c>
      <c r="C19" s="6" t="str" cm="1">
        <f t="array" ref="C19">IFERROR(PictureLookupUDF("C:\Users\Böcz Gábor\Documents\GitHub\AssetCollector\assets\"&amp;$A19&amp;"_2.jpg",C19:C19,1),"")</f>
        <v/>
      </c>
      <c r="D19" s="6" t="str" cm="1">
        <f t="array" ref="D19">IFERROR(PictureLookupUDF("C:\Users\Böcz Gábor\Documents\GitHub\AssetCollector\assets\"&amp;$A19&amp;"_3.jpg",D19:D19,1),"")</f>
        <v/>
      </c>
      <c r="E19" s="6" t="str" cm="1">
        <f t="array" ref="E19">IFERROR(PictureLookupUDF("C:\Users\Böcz Gábor\Documents\GitHub\AssetCollector\assets\"&amp;$A19&amp;"_4.jpg",E19:E19,1),"")</f>
        <v/>
      </c>
      <c r="F19" s="6" t="str" cm="1">
        <f t="array" ref="F19">IFERROR(PictureLookupUDF("C:\Users\Böcz Gábor\Documents\GitHub\AssetCollector\assets\"&amp;$A19&amp;"_5.jpg",F19:F19,1),"")</f>
        <v/>
      </c>
      <c r="G19" s="7" t="str">
        <f>IFERROR(VLOOKUP(A19,assetList__2[],2,FALSE),"-")</f>
        <v>-</v>
      </c>
      <c r="H19" s="7" t="str">
        <f>IFERROR(VLOOKUP(A19,assetList__2[],3,FALSE),"-")</f>
        <v>-</v>
      </c>
    </row>
    <row r="20" spans="1:8" ht="99.95" customHeight="1" x14ac:dyDescent="0.25">
      <c r="A20" s="2" t="s">
        <v>29</v>
      </c>
      <c r="B20" s="6" t="str" cm="1">
        <f t="array" ref="B20">IFERROR(PictureLookupUDF("C:\Users\Böcz Gábor\Documents\GitHub\AssetCollector\assets\"&amp;$A20&amp;"_1.jpg",B20:B20,1),"")</f>
        <v/>
      </c>
      <c r="C20" s="6" t="str" cm="1">
        <f t="array" ref="C20">IFERROR(PictureLookupUDF("C:\Users\Böcz Gábor\Documents\GitHub\AssetCollector\assets\"&amp;$A20&amp;"_2.jpg",C20:C20,1),"")</f>
        <v/>
      </c>
      <c r="D20" s="6" t="str" cm="1">
        <f t="array" ref="D20">IFERROR(PictureLookupUDF("C:\Users\Böcz Gábor\Documents\GitHub\AssetCollector\assets\"&amp;$A20&amp;"_3.jpg",D20:D20,1),"")</f>
        <v/>
      </c>
      <c r="E20" s="6" t="str" cm="1">
        <f t="array" ref="E20">IFERROR(PictureLookupUDF("C:\Users\Böcz Gábor\Documents\GitHub\AssetCollector\assets\"&amp;$A20&amp;"_4.jpg",E20:E20,1),"")</f>
        <v/>
      </c>
      <c r="F20" s="6" t="str" cm="1">
        <f t="array" ref="F20">IFERROR(PictureLookupUDF("C:\Users\Böcz Gábor\Documents\GitHub\AssetCollector\assets\"&amp;$A20&amp;"_5.jpg",F20:F20,1),"")</f>
        <v/>
      </c>
      <c r="G20" s="7" t="str">
        <f>IFERROR(VLOOKUP(A20,assetList__2[],2,FALSE),"-")</f>
        <v>-</v>
      </c>
      <c r="H20" s="7" t="str">
        <f>IFERROR(VLOOKUP(A20,assetList__2[],3,FALSE),"-")</f>
        <v>-</v>
      </c>
    </row>
    <row r="21" spans="1:8" ht="99.95" customHeight="1" x14ac:dyDescent="0.25">
      <c r="A21" s="2" t="s">
        <v>30</v>
      </c>
      <c r="B21" s="6" t="str" cm="1">
        <f t="array" ref="B21">IFERROR(PictureLookupUDF("C:\Users\Böcz Gábor\Documents\GitHub\AssetCollector\assets\"&amp;$A21&amp;"_1.jpg",B21:B21,1),"")</f>
        <v/>
      </c>
      <c r="C21" s="6" t="str" cm="1">
        <f t="array" ref="C21">IFERROR(PictureLookupUDF("C:\Users\Böcz Gábor\Documents\GitHub\AssetCollector\assets\"&amp;$A21&amp;"_2.jpg",C21:C21,1),"")</f>
        <v/>
      </c>
      <c r="D21" s="6" t="str" cm="1">
        <f t="array" ref="D21">IFERROR(PictureLookupUDF("C:\Users\Böcz Gábor\Documents\GitHub\AssetCollector\assets\"&amp;$A21&amp;"_3.jpg",D21:D21,1),"")</f>
        <v/>
      </c>
      <c r="E21" s="6" t="str" cm="1">
        <f t="array" ref="E21">IFERROR(PictureLookupUDF("C:\Users\Böcz Gábor\Documents\GitHub\AssetCollector\assets\"&amp;$A21&amp;"_4.jpg",E21:E21,1),"")</f>
        <v/>
      </c>
      <c r="F21" s="6" t="str" cm="1">
        <f t="array" ref="F21">IFERROR(PictureLookupUDF("C:\Users\Böcz Gábor\Documents\GitHub\AssetCollector\assets\"&amp;$A21&amp;"_5.jpg",F21:F21,1),"")</f>
        <v/>
      </c>
      <c r="G21" s="7" t="str">
        <f>IFERROR(VLOOKUP(A21,assetList__2[],2,FALSE),"-")</f>
        <v>-</v>
      </c>
      <c r="H21" s="7" t="str">
        <f>IFERROR(VLOOKUP(A21,assetList__2[],3,FALSE),"-")</f>
        <v>-</v>
      </c>
    </row>
    <row r="22" spans="1:8" ht="99.95" customHeight="1" x14ac:dyDescent="0.25">
      <c r="A22" s="2" t="s">
        <v>31</v>
      </c>
      <c r="B22" s="6" t="str" cm="1">
        <f t="array" ref="B22">IFERROR(PictureLookupUDF("C:\Users\Böcz Gábor\Documents\GitHub\AssetCollector\assets\"&amp;$A22&amp;"_1.jpg",B22:B22,1),"")</f>
        <v/>
      </c>
      <c r="C22" s="6" t="str" cm="1">
        <f t="array" ref="C22">IFERROR(PictureLookupUDF("C:\Users\Böcz Gábor\Documents\GitHub\AssetCollector\assets\"&amp;$A22&amp;"_2.jpg",C22:C22,1),"")</f>
        <v/>
      </c>
      <c r="D22" s="6" t="str" cm="1">
        <f t="array" ref="D22">IFERROR(PictureLookupUDF("C:\Users\Böcz Gábor\Documents\GitHub\AssetCollector\assets\"&amp;$A22&amp;"_3.jpg",D22:D22,1),"")</f>
        <v/>
      </c>
      <c r="E22" s="6" t="str" cm="1">
        <f t="array" ref="E22">IFERROR(PictureLookupUDF("C:\Users\Böcz Gábor\Documents\GitHub\AssetCollector\assets\"&amp;$A22&amp;"_4.jpg",E22:E22,1),"")</f>
        <v/>
      </c>
      <c r="F22" s="6" t="str" cm="1">
        <f t="array" ref="F22">IFERROR(PictureLookupUDF("C:\Users\Böcz Gábor\Documents\GitHub\AssetCollector\assets\"&amp;$A22&amp;"_5.jpg",F22:F22,1),"")</f>
        <v/>
      </c>
      <c r="G22" s="7" t="str">
        <f>IFERROR(VLOOKUP(A22,assetList__2[],2,FALSE),"-")</f>
        <v>-</v>
      </c>
      <c r="H22" s="7" t="str">
        <f>IFERROR(VLOOKUP(A22,assetList__2[],3,FALSE),"-")</f>
        <v>-</v>
      </c>
    </row>
    <row r="23" spans="1:8" ht="99.95" customHeight="1" x14ac:dyDescent="0.25">
      <c r="A23" s="2" t="s">
        <v>32</v>
      </c>
      <c r="B23" s="6" t="str" cm="1">
        <f t="array" ref="B23">IFERROR(PictureLookupUDF("C:\Users\Böcz Gábor\Documents\GitHub\AssetCollector\assets\"&amp;$A23&amp;"_1.jpg",B23:B23,1),"")</f>
        <v/>
      </c>
      <c r="C23" s="6" t="str" cm="1">
        <f t="array" ref="C23">IFERROR(PictureLookupUDF("C:\Users\Böcz Gábor\Documents\GitHub\AssetCollector\assets\"&amp;$A23&amp;"_2.jpg",C23:C23,1),"")</f>
        <v/>
      </c>
      <c r="D23" s="6" t="str" cm="1">
        <f t="array" ref="D23">IFERROR(PictureLookupUDF("C:\Users\Böcz Gábor\Documents\GitHub\AssetCollector\assets\"&amp;$A23&amp;"_3.jpg",D23:D23,1),"")</f>
        <v/>
      </c>
      <c r="E23" s="6" t="str" cm="1">
        <f t="array" ref="E23">IFERROR(PictureLookupUDF("C:\Users\Böcz Gábor\Documents\GitHub\AssetCollector\assets\"&amp;$A23&amp;"_4.jpg",E23:E23,1),"")</f>
        <v/>
      </c>
      <c r="F23" s="6" t="str" cm="1">
        <f t="array" ref="F23">IFERROR(PictureLookupUDF("C:\Users\Böcz Gábor\Documents\GitHub\AssetCollector\assets\"&amp;$A23&amp;"_5.jpg",F23:F23,1),"")</f>
        <v/>
      </c>
      <c r="G23" s="7" t="str">
        <f>IFERROR(VLOOKUP(A23,assetList__2[],2,FALSE),"-")</f>
        <v>-</v>
      </c>
      <c r="H23" s="7" t="str">
        <f>IFERROR(VLOOKUP(A23,assetList__2[],3,FALSE),"-")</f>
        <v>-</v>
      </c>
    </row>
    <row r="24" spans="1:8" ht="99.95" customHeight="1" x14ac:dyDescent="0.25">
      <c r="A24" s="2" t="s">
        <v>33</v>
      </c>
      <c r="B24" s="6" t="str" cm="1">
        <f t="array" ref="B24">IFERROR(PictureLookupUDF("C:\Users\Böcz Gábor\Documents\GitHub\AssetCollector\assets\"&amp;$A24&amp;"_1.jpg",B24:B24,1),"")</f>
        <v/>
      </c>
      <c r="C24" s="6" t="str" cm="1">
        <f t="array" ref="C24">IFERROR(PictureLookupUDF("C:\Users\Böcz Gábor\Documents\GitHub\AssetCollector\assets\"&amp;$A24&amp;"_2.jpg",C24:C24,1),"")</f>
        <v/>
      </c>
      <c r="D24" s="6" t="str" cm="1">
        <f t="array" ref="D24">IFERROR(PictureLookupUDF("C:\Users\Böcz Gábor\Documents\GitHub\AssetCollector\assets\"&amp;$A24&amp;"_3.jpg",D24:D24,1),"")</f>
        <v/>
      </c>
      <c r="E24" s="6" t="str" cm="1">
        <f t="array" ref="E24">IFERROR(PictureLookupUDF("C:\Users\Böcz Gábor\Documents\GitHub\AssetCollector\assets\"&amp;$A24&amp;"_4.jpg",E24:E24,1),"")</f>
        <v/>
      </c>
      <c r="F24" s="6" t="str" cm="1">
        <f t="array" ref="F24">IFERROR(PictureLookupUDF("C:\Users\Böcz Gábor\Documents\GitHub\AssetCollector\assets\"&amp;$A24&amp;"_5.jpg",F24:F24,1),"")</f>
        <v/>
      </c>
      <c r="G24" s="7" t="str">
        <f>IFERROR(VLOOKUP(A24,assetList__2[],2,FALSE),"-")</f>
        <v>-</v>
      </c>
      <c r="H24" s="7" t="str">
        <f>IFERROR(VLOOKUP(A24,assetList__2[],3,FALSE),"-")</f>
        <v>-</v>
      </c>
    </row>
    <row r="25" spans="1:8" ht="99.95" customHeight="1" x14ac:dyDescent="0.25">
      <c r="A25" s="2" t="s">
        <v>34</v>
      </c>
      <c r="B25" s="6" t="str" cm="1">
        <f t="array" ref="B25">IFERROR(PictureLookupUDF("C:\Users\Böcz Gábor\Documents\GitHub\AssetCollector\assets\"&amp;$A25&amp;"_1.jpg",B25:B25,1),"")</f>
        <v/>
      </c>
      <c r="C25" s="6" t="str" cm="1">
        <f t="array" ref="C25">IFERROR(PictureLookupUDF("C:\Users\Böcz Gábor\Documents\GitHub\AssetCollector\assets\"&amp;$A25&amp;"_2.jpg",C25:C25,1),"")</f>
        <v/>
      </c>
      <c r="D25" s="6" t="str" cm="1">
        <f t="array" ref="D25">IFERROR(PictureLookupUDF("C:\Users\Böcz Gábor\Documents\GitHub\AssetCollector\assets\"&amp;$A25&amp;"_3.jpg",D25:D25,1),"")</f>
        <v/>
      </c>
      <c r="E25" s="6" t="str" cm="1">
        <f t="array" ref="E25">IFERROR(PictureLookupUDF("C:\Users\Böcz Gábor\Documents\GitHub\AssetCollector\assets\"&amp;$A25&amp;"_4.jpg",E25:E25,1),"")</f>
        <v/>
      </c>
      <c r="F25" s="6" t="str" cm="1">
        <f t="array" ref="F25">IFERROR(PictureLookupUDF("C:\Users\Böcz Gábor\Documents\GitHub\AssetCollector\assets\"&amp;$A25&amp;"_5.jpg",F25:F25,1),"")</f>
        <v/>
      </c>
      <c r="G25" s="7" t="str">
        <f>IFERROR(VLOOKUP(A25,assetList__2[],2,FALSE),"-")</f>
        <v>-</v>
      </c>
      <c r="H25" s="7" t="str">
        <f>IFERROR(VLOOKUP(A25,assetList__2[],3,FALSE),"-")</f>
        <v>-</v>
      </c>
    </row>
    <row r="26" spans="1:8" ht="99.95" customHeight="1" x14ac:dyDescent="0.25">
      <c r="A26" s="2" t="s">
        <v>35</v>
      </c>
      <c r="B26" s="6" t="str" cm="1">
        <f t="array" ref="B26">IFERROR(PictureLookupUDF("C:\Users\Böcz Gábor\Documents\GitHub\AssetCollector\assets\"&amp;$A26&amp;"_1.jpg",B26:B26,1),"")</f>
        <v/>
      </c>
      <c r="C26" s="6" t="str" cm="1">
        <f t="array" ref="C26">IFERROR(PictureLookupUDF("C:\Users\Böcz Gábor\Documents\GitHub\AssetCollector\assets\"&amp;$A26&amp;"_2.jpg",C26:C26,1),"")</f>
        <v/>
      </c>
      <c r="D26" s="6" t="str" cm="1">
        <f t="array" ref="D26">IFERROR(PictureLookupUDF("C:\Users\Böcz Gábor\Documents\GitHub\AssetCollector\assets\"&amp;$A26&amp;"_3.jpg",D26:D26,1),"")</f>
        <v/>
      </c>
      <c r="E26" s="6" t="str" cm="1">
        <f t="array" ref="E26">IFERROR(PictureLookupUDF("C:\Users\Böcz Gábor\Documents\GitHub\AssetCollector\assets\"&amp;$A26&amp;"_4.jpg",E26:E26,1),"")</f>
        <v/>
      </c>
      <c r="F26" s="6" t="str" cm="1">
        <f t="array" ref="F26">IFERROR(PictureLookupUDF("C:\Users\Böcz Gábor\Documents\GitHub\AssetCollector\assets\"&amp;$A26&amp;"_5.jpg",F26:F26,1),"")</f>
        <v/>
      </c>
      <c r="G26" s="7" t="str">
        <f>IFERROR(VLOOKUP(A26,assetList__2[],2,FALSE),"-")</f>
        <v>-</v>
      </c>
      <c r="H26" s="7" t="str">
        <f>IFERROR(VLOOKUP(A26,assetList__2[],3,FALSE),"-")</f>
        <v>-</v>
      </c>
    </row>
    <row r="27" spans="1:8" ht="99.95" customHeight="1" x14ac:dyDescent="0.25">
      <c r="A27" s="2" t="s">
        <v>36</v>
      </c>
      <c r="B27" s="6" t="str" cm="1">
        <f t="array" ref="B27">IFERROR(PictureLookupUDF("C:\Users\Böcz Gábor\Documents\GitHub\AssetCollector\assets\"&amp;$A27&amp;"_1.jpg",B27:B27,1),"")</f>
        <v/>
      </c>
      <c r="C27" s="6" t="str" cm="1">
        <f t="array" ref="C27">IFERROR(PictureLookupUDF("C:\Users\Böcz Gábor\Documents\GitHub\AssetCollector\assets\"&amp;$A27&amp;"_2.jpg",C27:C27,1),"")</f>
        <v/>
      </c>
      <c r="D27" s="6" t="str" cm="1">
        <f t="array" ref="D27">IFERROR(PictureLookupUDF("C:\Users\Böcz Gábor\Documents\GitHub\AssetCollector\assets\"&amp;$A27&amp;"_3.jpg",D27:D27,1),"")</f>
        <v/>
      </c>
      <c r="E27" s="6" t="str" cm="1">
        <f t="array" ref="E27">IFERROR(PictureLookupUDF("C:\Users\Böcz Gábor\Documents\GitHub\AssetCollector\assets\"&amp;$A27&amp;"_4.jpg",E27:E27,1),"")</f>
        <v/>
      </c>
      <c r="F27" s="6" t="str" cm="1">
        <f t="array" ref="F27">IFERROR(PictureLookupUDF("C:\Users\Böcz Gábor\Documents\GitHub\AssetCollector\assets\"&amp;$A27&amp;"_5.jpg",F27:F27,1),"")</f>
        <v/>
      </c>
      <c r="G27" s="7" t="str">
        <f>IFERROR(VLOOKUP(A27,assetList__2[],2,FALSE),"-")</f>
        <v>-</v>
      </c>
      <c r="H27" s="7" t="str">
        <f>IFERROR(VLOOKUP(A27,assetList__2[],3,FALSE),"-")</f>
        <v>-</v>
      </c>
    </row>
    <row r="28" spans="1:8" ht="99.95" customHeight="1" x14ac:dyDescent="0.25">
      <c r="A28" s="2" t="s">
        <v>37</v>
      </c>
      <c r="B28" s="6" t="str" cm="1">
        <f t="array" ref="B28">IFERROR(PictureLookupUDF("C:\Users\Böcz Gábor\Documents\GitHub\AssetCollector\assets\"&amp;$A28&amp;"_1.jpg",B28:B28,1),"")</f>
        <v/>
      </c>
      <c r="C28" s="6" t="str" cm="1">
        <f t="array" ref="C28">IFERROR(PictureLookupUDF("C:\Users\Böcz Gábor\Documents\GitHub\AssetCollector\assets\"&amp;$A28&amp;"_2.jpg",C28:C28,1),"")</f>
        <v/>
      </c>
      <c r="D28" s="6" t="str" cm="1">
        <f t="array" ref="D28">IFERROR(PictureLookupUDF("C:\Users\Böcz Gábor\Documents\GitHub\AssetCollector\assets\"&amp;$A28&amp;"_3.jpg",D28:D28,1),"")</f>
        <v/>
      </c>
      <c r="E28" s="6" t="str" cm="1">
        <f t="array" ref="E28">IFERROR(PictureLookupUDF("C:\Users\Böcz Gábor\Documents\GitHub\AssetCollector\assets\"&amp;$A28&amp;"_4.jpg",E28:E28,1),"")</f>
        <v/>
      </c>
      <c r="F28" s="6" t="str" cm="1">
        <f t="array" ref="F28">IFERROR(PictureLookupUDF("C:\Users\Böcz Gábor\Documents\GitHub\AssetCollector\assets\"&amp;$A28&amp;"_5.jpg",F28:F28,1),"")</f>
        <v/>
      </c>
      <c r="G28" s="7" t="str">
        <f>IFERROR(VLOOKUP(A28,assetList__2[],2,FALSE),"-")</f>
        <v>-</v>
      </c>
      <c r="H28" s="7" t="str">
        <f>IFERROR(VLOOKUP(A28,assetList__2[],3,FALSE),"-")</f>
        <v>-</v>
      </c>
    </row>
    <row r="29" spans="1:8" ht="99.95" customHeight="1" x14ac:dyDescent="0.25">
      <c r="A29" s="2" t="s">
        <v>38</v>
      </c>
      <c r="B29" s="6" t="str" cm="1">
        <f t="array" ref="B29">IFERROR(PictureLookupUDF("C:\Users\Böcz Gábor\Documents\GitHub\AssetCollector\assets\"&amp;$A29&amp;"_1.jpg",B29:B29,1),"")</f>
        <v/>
      </c>
      <c r="C29" s="6" t="str" cm="1">
        <f t="array" ref="C29">IFERROR(PictureLookupUDF("C:\Users\Böcz Gábor\Documents\GitHub\AssetCollector\assets\"&amp;$A29&amp;"_2.jpg",C29:C29,1),"")</f>
        <v/>
      </c>
      <c r="D29" s="6" t="str" cm="1">
        <f t="array" ref="D29">IFERROR(PictureLookupUDF("C:\Users\Böcz Gábor\Documents\GitHub\AssetCollector\assets\"&amp;$A29&amp;"_3.jpg",D29:D29,1),"")</f>
        <v/>
      </c>
      <c r="E29" s="6" t="str" cm="1">
        <f t="array" ref="E29">IFERROR(PictureLookupUDF("C:\Users\Böcz Gábor\Documents\GitHub\AssetCollector\assets\"&amp;$A29&amp;"_4.jpg",E29:E29,1),"")</f>
        <v/>
      </c>
      <c r="F29" s="6" t="str" cm="1">
        <f t="array" ref="F29">IFERROR(PictureLookupUDF("C:\Users\Böcz Gábor\Documents\GitHub\AssetCollector\assets\"&amp;$A29&amp;"_5.jpg",F29:F29,1),"")</f>
        <v/>
      </c>
      <c r="G29" s="7" t="str">
        <f>IFERROR(VLOOKUP(A29,assetList__2[],2,FALSE),"-")</f>
        <v>-</v>
      </c>
      <c r="H29" s="7" t="str">
        <f>IFERROR(VLOOKUP(A29,assetList__2[],3,FALSE),"-")</f>
        <v>-</v>
      </c>
    </row>
    <row r="30" spans="1:8" ht="99.95" customHeight="1" x14ac:dyDescent="0.25">
      <c r="A30" s="2" t="s">
        <v>39</v>
      </c>
      <c r="B30" s="6" t="str" cm="1">
        <f t="array" ref="B30">IFERROR(PictureLookupUDF("C:\Users\Böcz Gábor\Documents\GitHub\AssetCollector\assets\"&amp;$A30&amp;"_1.jpg",B30:B30,1),"")</f>
        <v/>
      </c>
      <c r="C30" s="6" t="str" cm="1">
        <f t="array" ref="C30">IFERROR(PictureLookupUDF("C:\Users\Böcz Gábor\Documents\GitHub\AssetCollector\assets\"&amp;$A30&amp;"_2.jpg",C30:C30,1),"")</f>
        <v/>
      </c>
      <c r="D30" s="6" t="str" cm="1">
        <f t="array" ref="D30">IFERROR(PictureLookupUDF("C:\Users\Böcz Gábor\Documents\GitHub\AssetCollector\assets\"&amp;$A30&amp;"_3.jpg",D30:D30,1),"")</f>
        <v/>
      </c>
      <c r="E30" s="6" t="str" cm="1">
        <f t="array" ref="E30">IFERROR(PictureLookupUDF("C:\Users\Böcz Gábor\Documents\GitHub\AssetCollector\assets\"&amp;$A30&amp;"_4.jpg",E30:E30,1),"")</f>
        <v/>
      </c>
      <c r="F30" s="6" t="str" cm="1">
        <f t="array" ref="F30">IFERROR(PictureLookupUDF("C:\Users\Böcz Gábor\Documents\GitHub\AssetCollector\assets\"&amp;$A30&amp;"_5.jpg",F30:F30,1),"")</f>
        <v/>
      </c>
      <c r="G30" s="7" t="str">
        <f>IFERROR(VLOOKUP(A30,assetList__2[],2,FALSE),"-")</f>
        <v>-</v>
      </c>
      <c r="H30" s="7" t="str">
        <f>IFERROR(VLOOKUP(A30,assetList__2[],3,FALSE),"-")</f>
        <v>-</v>
      </c>
    </row>
    <row r="31" spans="1:8" ht="99.95" customHeight="1" x14ac:dyDescent="0.25">
      <c r="A31" s="2" t="s">
        <v>40</v>
      </c>
      <c r="B31" s="6" t="str" cm="1">
        <f t="array" ref="B31">IFERROR(PictureLookupUDF("C:\Users\Böcz Gábor\Documents\GitHub\AssetCollector\assets\"&amp;$A31&amp;"_1.jpg",B31:B31,1),"")</f>
        <v/>
      </c>
      <c r="C31" s="6" t="str" cm="1">
        <f t="array" ref="C31">IFERROR(PictureLookupUDF("C:\Users\Böcz Gábor\Documents\GitHub\AssetCollector\assets\"&amp;$A31&amp;"_2.jpg",C31:C31,1),"")</f>
        <v/>
      </c>
      <c r="D31" s="6" t="str" cm="1">
        <f t="array" ref="D31">IFERROR(PictureLookupUDF("C:\Users\Böcz Gábor\Documents\GitHub\AssetCollector\assets\"&amp;$A31&amp;"_3.jpg",D31:D31,1),"")</f>
        <v/>
      </c>
      <c r="E31" s="6" t="str" cm="1">
        <f t="array" ref="E31">IFERROR(PictureLookupUDF("C:\Users\Böcz Gábor\Documents\GitHub\AssetCollector\assets\"&amp;$A31&amp;"_4.jpg",E31:E31,1),"")</f>
        <v/>
      </c>
      <c r="F31" s="6" t="str" cm="1">
        <f t="array" ref="F31">IFERROR(PictureLookupUDF("C:\Users\Böcz Gábor\Documents\GitHub\AssetCollector\assets\"&amp;$A31&amp;"_5.jpg",F31:F31,1),"")</f>
        <v/>
      </c>
      <c r="G31" s="7" t="str">
        <f>IFERROR(VLOOKUP(A31,assetList__2[],2,FALSE),"-")</f>
        <v>-</v>
      </c>
      <c r="H31" s="7" t="str">
        <f>IFERROR(VLOOKUP(A31,assetList__2[],3,FALSE),"-")</f>
        <v>-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856BF-704D-4F8C-9E6E-C626B1526D13}">
  <sheetPr codeName="Munka4"/>
  <dimension ref="A1:D5"/>
  <sheetViews>
    <sheetView tabSelected="1" workbookViewId="0">
      <selection activeCell="D3" sqref="D3"/>
    </sheetView>
  </sheetViews>
  <sheetFormatPr defaultRowHeight="15" x14ac:dyDescent="0.25"/>
  <cols>
    <col min="1" max="1" width="8.140625" bestFit="1" customWidth="1"/>
    <col min="2" max="2" width="9.28515625" bestFit="1" customWidth="1"/>
    <col min="3" max="3" width="13.85546875" bestFit="1" customWidth="1"/>
    <col min="4" max="4" width="11.140625" bestFit="1" customWidth="1"/>
  </cols>
  <sheetData>
    <row r="1" spans="1:4" x14ac:dyDescent="0.25">
      <c r="A1" t="s">
        <v>9</v>
      </c>
      <c r="B1" t="s">
        <v>6</v>
      </c>
      <c r="C1" t="s">
        <v>7</v>
      </c>
      <c r="D1" t="s">
        <v>8</v>
      </c>
    </row>
    <row r="2" spans="1:4" x14ac:dyDescent="0.25">
      <c r="A2" s="1">
        <v>11</v>
      </c>
      <c r="B2" s="4" t="s">
        <v>41</v>
      </c>
      <c r="C2" s="4" t="s">
        <v>42</v>
      </c>
      <c r="D2" s="3" t="s">
        <v>10</v>
      </c>
    </row>
    <row r="3" spans="1:4" x14ac:dyDescent="0.25">
      <c r="A3" s="1">
        <v>12</v>
      </c>
      <c r="B3" s="4" t="s">
        <v>41</v>
      </c>
      <c r="C3" s="4" t="s">
        <v>43</v>
      </c>
      <c r="D3" s="3" t="s">
        <v>10</v>
      </c>
    </row>
    <row r="4" spans="1:4" x14ac:dyDescent="0.25">
      <c r="A4" s="1">
        <v>14</v>
      </c>
      <c r="B4" s="4" t="s">
        <v>44</v>
      </c>
      <c r="C4" s="4" t="s">
        <v>42</v>
      </c>
      <c r="D4" s="3" t="s">
        <v>10</v>
      </c>
    </row>
    <row r="5" spans="1:4" x14ac:dyDescent="0.25">
      <c r="A5" s="1">
        <v>20</v>
      </c>
      <c r="B5" s="4" t="s">
        <v>10</v>
      </c>
      <c r="C5" s="4" t="s">
        <v>10</v>
      </c>
      <c r="D5" s="3" t="s">
        <v>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4499C9-951A-47F0-B02C-B6B951A9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Munka1</vt:lpstr>
      <vt:lpstr>assetList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Böcz Gábor</dc:creator>
  <cp:lastModifiedBy>Böcz Gábor</cp:lastModifiedBy>
  <dcterms:created xsi:type="dcterms:W3CDTF">2021-12-10T10:29:42Z</dcterms:created>
  <dcterms:modified xsi:type="dcterms:W3CDTF">2021-12-10T13:13:42Z</dcterms:modified>
</cp:coreProperties>
</file>